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-Commerce-Sales-Analytics\Dataset\"/>
    </mc:Choice>
  </mc:AlternateContent>
  <xr:revisionPtr revIDLastSave="0" documentId="13_ncr:1_{8EFD7870-8C9D-4E7E-950D-FFD41E36478F}" xr6:coauthVersionLast="47" xr6:coauthVersionMax="47" xr10:uidLastSave="{00000000-0000-0000-0000-000000000000}"/>
  <bookViews>
    <workbookView xWindow="-120" yWindow="-120" windowWidth="20730" windowHeight="11040" activeTab="1" xr2:uid="{1D1A6E6E-D297-4ADD-A979-C518236483E7}"/>
  </bookViews>
  <sheets>
    <sheet name="Sheet1" sheetId="1" r:id="rId1"/>
    <sheet name="Sheet2" sheetId="2" r:id="rId2"/>
    <sheet name="Sheet3" sheetId="3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6" i="3" l="1"/>
  <c r="C7" i="3"/>
  <c r="C8" i="3"/>
  <c r="C9" i="3"/>
  <c r="C20" i="3" s="1"/>
  <c r="C10" i="3"/>
  <c r="C11" i="3"/>
  <c r="C12" i="3"/>
  <c r="C13" i="3"/>
  <c r="C14" i="3"/>
  <c r="C15" i="3"/>
  <c r="C16" i="3"/>
  <c r="C17" i="3"/>
  <c r="C18" i="3"/>
  <c r="C19" i="3"/>
  <c r="C5" i="3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</calcChain>
</file>

<file path=xl/sharedStrings.xml><?xml version="1.0" encoding="utf-8"?>
<sst xmlns="http://schemas.openxmlformats.org/spreadsheetml/2006/main" count="219" uniqueCount="91">
  <si>
    <t>Order_Id</t>
  </si>
  <si>
    <t>A001</t>
  </si>
  <si>
    <t>Date</t>
  </si>
  <si>
    <t>Product</t>
  </si>
  <si>
    <t>Price</t>
  </si>
  <si>
    <t>Payment_Method</t>
  </si>
  <si>
    <t>Manager</t>
  </si>
  <si>
    <t>City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</si>
  <si>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</si>
  <si>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</si>
  <si>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</si>
  <si>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</si>
  <si>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</si>
  <si>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</si>
  <si>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</si>
  <si>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</si>
  <si>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</si>
  <si>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</si>
  <si>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</si>
  <si>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</si>
  <si>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</si>
  <si>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</si>
  <si>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</si>
  <si>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</si>
  <si>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</si>
  <si>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</si>
  <si>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</si>
  <si>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 xml:space="preserve">Solar pad </t>
  </si>
  <si>
    <t>Cash</t>
  </si>
  <si>
    <t>Arun kumar</t>
  </si>
  <si>
    <t>Chennai</t>
  </si>
  <si>
    <t>Gpay</t>
  </si>
  <si>
    <t>Ragul</t>
  </si>
  <si>
    <t>Pondy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</si>
  <si>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</si>
  <si>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</si>
  <si>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</si>
  <si>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</si>
  <si>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</si>
  <si>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</si>
  <si>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</si>
  <si>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</si>
  <si>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</si>
  <si>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</si>
  <si>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</si>
  <si>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PowerBatter</t>
  </si>
  <si>
    <t>Books</t>
  </si>
  <si>
    <t>Notes</t>
  </si>
  <si>
    <t>Laptop</t>
  </si>
  <si>
    <t>Phone</t>
  </si>
  <si>
    <t>Tab</t>
  </si>
  <si>
    <t>Tv</t>
  </si>
  <si>
    <t>Watch</t>
  </si>
  <si>
    <t>Board</t>
  </si>
  <si>
    <t>Speaker</t>
  </si>
  <si>
    <t>Snacks</t>
  </si>
  <si>
    <t>Tablets</t>
  </si>
  <si>
    <t>Pieces</t>
  </si>
  <si>
    <t>ToyCycle</t>
  </si>
  <si>
    <t>Pen</t>
  </si>
  <si>
    <t>Priya</t>
  </si>
  <si>
    <t>Hema</t>
  </si>
  <si>
    <t>Deepa</t>
  </si>
  <si>
    <t xml:space="preserve">Arun </t>
  </si>
  <si>
    <t>Trichy</t>
  </si>
  <si>
    <t>Divya</t>
  </si>
  <si>
    <t>Selam</t>
  </si>
  <si>
    <t>Arun</t>
  </si>
  <si>
    <t>White Cover</t>
  </si>
  <si>
    <t>vivek</t>
  </si>
  <si>
    <t>Revenu</t>
  </si>
  <si>
    <t>Column1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</si>
  <si>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</si>
  <si>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</si>
  <si>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</si>
  <si>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</si>
  <si>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</si>
  <si>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</si>
  <si>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</si>
  <si>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</si>
  <si>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</si>
  <si>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</si>
  <si>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</si>
  <si>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</si>
  <si>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</si>
  <si>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Revenu Breakdown By City</t>
  </si>
  <si>
    <t>Revenu Breakdown Over Time</t>
  </si>
  <si>
    <t>Best selling Product</t>
  </si>
  <si>
    <t>Sum of Revenu</t>
  </si>
  <si>
    <t>Select Manager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</si>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</sst>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0" borderId="1" xfId="0" applyBorder="1"/>
    <xf numFmtId="0" fontId="1" fillId="0" borderId="2" xfId="0" applyFont="1" applyBorder="1" applyAlignment="1">
      <alignment horizontal="centerContinuous"/>
    </xf>
    <xf numFmtId="0" fontId="0" fillId="0" borderId="0" xfId="0" pivotButton="1"/>
    <xf numFmtId="4" fontId="0" fillId="0" borderId="0" xfId="0" applyNumberFormat="1"/>
    <xf numFmtId="164" fontId="0" fillId="0" borderId="0" xfId="0" applyNumberFormat="1"/>
    <xf numFmtId="0" fontId="0" fillId="2" borderId="3" xfId="0" applyFill="1" applyBorder="1"/>
    <xf numFmtId="0" fontId="0" fillId="0" borderId="3" xfId="0" applyBorder="1"/>
  </cellXfs>
  <cellStyles count="1">
    <cellStyle name="Normal" xfId="0" builtinId="0"/>
  </cellStyles>
  <dxfs count="2"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solidFill>
                <a:schemeClr val="accent1"/>
              </a:solidFill>
            </a:ln>
            <a:effectLst/>
          </c:spPr>
          <c:invertIfNegative val="0"/>
          <c:cat>
            <c:strRef>
              <c:f>Sheet1!$M$14:$M$28</c:f>
              <c:strCache>
                <c:ptCount val="15"/>
                <c:pt idx="0">
                  <c:v>Column1</c:v>
                </c:pt>
                <c:pt idx="2">
                  <c:v>Mean</c:v>
                </c:pt>
                <c:pt idx="3">
                  <c:v>Standard Error</c:v>
                </c:pt>
                <c:pt idx="4">
                  <c:v>Median</c:v>
                </c:pt>
                <c:pt idx="5">
                  <c:v>Mode</c:v>
                </c:pt>
                <c:pt idx="6">
                  <c:v>Standard Deviation</c:v>
                </c:pt>
                <c:pt idx="7">
                  <c:v>Sample Variance</c:v>
                </c:pt>
                <c:pt idx="8">
                  <c:v>Kurtosis</c:v>
                </c:pt>
                <c:pt idx="9">
                  <c:v>Skewness</c:v>
                </c:pt>
                <c:pt idx="10">
                  <c:v>Range</c:v>
                </c:pt>
                <c:pt idx="11">
                  <c:v>Minimum</c:v>
                </c:pt>
                <c:pt idx="12">
                  <c:v>Maximum</c:v>
                </c:pt>
                <c:pt idx="13">
                  <c:v>Sum</c:v>
                </c:pt>
                <c:pt idx="14">
                  <c:v>Count</c:v>
                </c:pt>
              </c:strCache>
            </c:strRef>
          </c:cat>
          <c:val>
            <c:numRef>
              <c:f>Sheet1!$N$14:$N$28</c:f>
              <c:numCache>
                <c:formatCode>General</c:formatCode>
                <c:ptCount val="15"/>
                <c:pt idx="2">
                  <c:v>121548.3870967742</c:v>
                </c:pt>
                <c:pt idx="3">
                  <c:v>48668.93510789959</c:v>
                </c:pt>
                <c:pt idx="4">
                  <c:v>25000</c:v>
                </c:pt>
                <c:pt idx="5">
                  <c:v>25000</c:v>
                </c:pt>
                <c:pt idx="6">
                  <c:v>270977.16247065022</c:v>
                </c:pt>
                <c:pt idx="7">
                  <c:v>73428622580.645172</c:v>
                </c:pt>
                <c:pt idx="8">
                  <c:v>23.975237925724784</c:v>
                </c:pt>
                <c:pt idx="9">
                  <c:v>4.6757729219424293</c:v>
                </c:pt>
                <c:pt idx="10">
                  <c:v>1499000</c:v>
                </c:pt>
                <c:pt idx="11">
                  <c:v>1000</c:v>
                </c:pt>
                <c:pt idx="12">
                  <c:v>1500000</c:v>
                </c:pt>
                <c:pt idx="13">
                  <c:v>3768000</c:v>
                </c:pt>
                <c:pt idx="14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C8-40EE-9687-46268B9622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776282592"/>
        <c:axId val="1741282800"/>
      </c:barChart>
      <c:catAx>
        <c:axId val="1776282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1282800"/>
        <c:crosses val="autoZero"/>
        <c:auto val="1"/>
        <c:lblAlgn val="ctr"/>
        <c:lblOffset val="100"/>
        <c:noMultiLvlLbl val="0"/>
      </c:catAx>
      <c:valAx>
        <c:axId val="1741282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6282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[e-commerce-sales-analytics001.xlsx]Sheet2!PivotTable1</c:name>
    <c:fmtId val="1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Sheet2!$E$3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Sheet2!$D$4:$D$34</c:f>
              <c:strCache>
                <c:ptCount val="31"/>
                <c:pt idx="0">
                  <c:v>31 October 2026</c:v>
                </c:pt>
                <c:pt idx="1">
                  <c:v>30 October 2026</c:v>
                </c:pt>
                <c:pt idx="2">
                  <c:v>29 October 2026</c:v>
                </c:pt>
                <c:pt idx="3">
                  <c:v>28 October 2026</c:v>
                </c:pt>
                <c:pt idx="4">
                  <c:v>27 October 2026</c:v>
                </c:pt>
                <c:pt idx="5">
                  <c:v>26 October 2026</c:v>
                </c:pt>
                <c:pt idx="6">
                  <c:v>25 October 2026</c:v>
                </c:pt>
                <c:pt idx="7">
                  <c:v>24 October 2026</c:v>
                </c:pt>
                <c:pt idx="8">
                  <c:v>23 October 2026</c:v>
                </c:pt>
                <c:pt idx="9">
                  <c:v>22 October 2026</c:v>
                </c:pt>
                <c:pt idx="10">
                  <c:v>21 October 2026</c:v>
                </c:pt>
                <c:pt idx="11">
                  <c:v>20 October 2026</c:v>
                </c:pt>
                <c:pt idx="12">
                  <c:v>19 October 2026</c:v>
                </c:pt>
                <c:pt idx="13">
                  <c:v>18 October 2026</c:v>
                </c:pt>
                <c:pt idx="14">
                  <c:v>17 October 2026</c:v>
                </c:pt>
                <c:pt idx="15">
                  <c:v>16 October 2026</c:v>
                </c:pt>
                <c:pt idx="16">
                  <c:v>15 October 2026</c:v>
                </c:pt>
                <c:pt idx="17">
                  <c:v>14 October 2026</c:v>
                </c:pt>
                <c:pt idx="18">
                  <c:v>13 October 2026</c:v>
                </c:pt>
                <c:pt idx="19">
                  <c:v>12 October 2026</c:v>
                </c:pt>
                <c:pt idx="20">
                  <c:v>11 October 2026</c:v>
                </c:pt>
                <c:pt idx="21">
                  <c:v>10 October 2026</c:v>
                </c:pt>
                <c:pt idx="22">
                  <c:v>09 October 2026</c:v>
                </c:pt>
                <c:pt idx="23">
                  <c:v>08 October 2026</c:v>
                </c:pt>
                <c:pt idx="24">
                  <c:v>07 October 2026</c:v>
                </c:pt>
                <c:pt idx="25">
                  <c:v>06 October 2026</c:v>
                </c:pt>
                <c:pt idx="26">
                  <c:v>05 October 2026</c:v>
                </c:pt>
                <c:pt idx="27">
                  <c:v>04 October 2026</c:v>
                </c:pt>
                <c:pt idx="28">
                  <c:v>03 October 2026</c:v>
                </c:pt>
                <c:pt idx="29">
                  <c:v>02 October 2026</c:v>
                </c:pt>
                <c:pt idx="30">
                  <c:v>01 October 2026</c:v>
                </c:pt>
              </c:strCache>
            </c:strRef>
          </c:cat>
          <c:val>
            <c:numRef>
              <c:f>Sheet2!$E$4:$E$34</c:f>
              <c:numCache>
                <c:formatCode>#,##0.00</c:formatCode>
                <c:ptCount val="31"/>
                <c:pt idx="0">
                  <c:v>1500000</c:v>
                </c:pt>
                <c:pt idx="1">
                  <c:v>24000</c:v>
                </c:pt>
                <c:pt idx="2">
                  <c:v>14000</c:v>
                </c:pt>
                <c:pt idx="3">
                  <c:v>250000</c:v>
                </c:pt>
                <c:pt idx="4">
                  <c:v>1000</c:v>
                </c:pt>
                <c:pt idx="5">
                  <c:v>80000</c:v>
                </c:pt>
                <c:pt idx="6">
                  <c:v>2500</c:v>
                </c:pt>
                <c:pt idx="7">
                  <c:v>12000</c:v>
                </c:pt>
                <c:pt idx="8">
                  <c:v>101500</c:v>
                </c:pt>
                <c:pt idx="9">
                  <c:v>15000</c:v>
                </c:pt>
                <c:pt idx="10">
                  <c:v>25000</c:v>
                </c:pt>
                <c:pt idx="11">
                  <c:v>280000</c:v>
                </c:pt>
                <c:pt idx="12">
                  <c:v>200000</c:v>
                </c:pt>
                <c:pt idx="13">
                  <c:v>25000</c:v>
                </c:pt>
                <c:pt idx="14">
                  <c:v>49000</c:v>
                </c:pt>
                <c:pt idx="15">
                  <c:v>55000</c:v>
                </c:pt>
                <c:pt idx="16">
                  <c:v>24000</c:v>
                </c:pt>
                <c:pt idx="17">
                  <c:v>14000</c:v>
                </c:pt>
                <c:pt idx="18">
                  <c:v>250000</c:v>
                </c:pt>
                <c:pt idx="19">
                  <c:v>1000</c:v>
                </c:pt>
                <c:pt idx="20">
                  <c:v>80000</c:v>
                </c:pt>
                <c:pt idx="21">
                  <c:v>2500</c:v>
                </c:pt>
                <c:pt idx="22">
                  <c:v>12000</c:v>
                </c:pt>
                <c:pt idx="23">
                  <c:v>101500</c:v>
                </c:pt>
                <c:pt idx="24">
                  <c:v>15000</c:v>
                </c:pt>
                <c:pt idx="25">
                  <c:v>25000</c:v>
                </c:pt>
                <c:pt idx="26">
                  <c:v>280000</c:v>
                </c:pt>
                <c:pt idx="27">
                  <c:v>200000</c:v>
                </c:pt>
                <c:pt idx="28">
                  <c:v>25000</c:v>
                </c:pt>
                <c:pt idx="29">
                  <c:v>49000</c:v>
                </c:pt>
                <c:pt idx="30">
                  <c:v>55000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C4-422A-B5C9-4BE7CC4594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8434735"/>
        <c:axId val="167893487"/>
      </c:lineChart>
      <c:catAx>
        <c:axId val="248434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893487"/>
        <c:crosses val="autoZero"/>
        <c:auto val="1"/>
        <c:lblAlgn val="ctr"/>
        <c:lblOffset val="100"/>
        <c:noMultiLvlLbl val="0"/>
      </c:catAx>
      <c:valAx>
        <c:axId val="167893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434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[e-commerce-sales-analytics001.xlsx]Sheet2!PivotTable1</c:name>
    <c:fmtId val="1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Sheet2!$E$3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Sheet2!$D$4:$D$34</c:f>
              <c:strCache>
                <c:ptCount val="31"/>
                <c:pt idx="0">
                  <c:v>31 October 2026</c:v>
                </c:pt>
                <c:pt idx="1">
                  <c:v>30 October 2026</c:v>
                </c:pt>
                <c:pt idx="2">
                  <c:v>29 October 2026</c:v>
                </c:pt>
                <c:pt idx="3">
                  <c:v>28 October 2026</c:v>
                </c:pt>
                <c:pt idx="4">
                  <c:v>27 October 2026</c:v>
                </c:pt>
                <c:pt idx="5">
                  <c:v>26 October 2026</c:v>
                </c:pt>
                <c:pt idx="6">
                  <c:v>25 October 2026</c:v>
                </c:pt>
                <c:pt idx="7">
                  <c:v>24 October 2026</c:v>
                </c:pt>
                <c:pt idx="8">
                  <c:v>23 October 2026</c:v>
                </c:pt>
                <c:pt idx="9">
                  <c:v>22 October 2026</c:v>
                </c:pt>
                <c:pt idx="10">
                  <c:v>21 October 2026</c:v>
                </c:pt>
                <c:pt idx="11">
                  <c:v>20 October 2026</c:v>
                </c:pt>
                <c:pt idx="12">
                  <c:v>19 October 2026</c:v>
                </c:pt>
                <c:pt idx="13">
                  <c:v>18 October 2026</c:v>
                </c:pt>
                <c:pt idx="14">
                  <c:v>17 October 2026</c:v>
                </c:pt>
                <c:pt idx="15">
                  <c:v>16 October 2026</c:v>
                </c:pt>
                <c:pt idx="16">
                  <c:v>15 October 2026</c:v>
                </c:pt>
                <c:pt idx="17">
                  <c:v>14 October 2026</c:v>
                </c:pt>
                <c:pt idx="18">
                  <c:v>13 October 2026</c:v>
                </c:pt>
                <c:pt idx="19">
                  <c:v>12 October 2026</c:v>
                </c:pt>
                <c:pt idx="20">
                  <c:v>11 October 2026</c:v>
                </c:pt>
                <c:pt idx="21">
                  <c:v>10 October 2026</c:v>
                </c:pt>
                <c:pt idx="22">
                  <c:v>09 October 2026</c:v>
                </c:pt>
                <c:pt idx="23">
                  <c:v>08 October 2026</c:v>
                </c:pt>
                <c:pt idx="24">
                  <c:v>07 October 2026</c:v>
                </c:pt>
                <c:pt idx="25">
                  <c:v>06 October 2026</c:v>
                </c:pt>
                <c:pt idx="26">
                  <c:v>05 October 2026</c:v>
                </c:pt>
                <c:pt idx="27">
                  <c:v>04 October 2026</c:v>
                </c:pt>
                <c:pt idx="28">
                  <c:v>03 October 2026</c:v>
                </c:pt>
                <c:pt idx="29">
                  <c:v>02 October 2026</c:v>
                </c:pt>
                <c:pt idx="30">
                  <c:v>01 October 2026</c:v>
                </c:pt>
              </c:strCache>
            </c:strRef>
          </c:cat>
          <c:val>
            <c:numRef>
              <c:f>Sheet2!$E$4:$E$34</c:f>
              <c:numCache>
                <c:formatCode>#,##0.00</c:formatCode>
                <c:ptCount val="31"/>
                <c:pt idx="0">
                  <c:v>1500000</c:v>
                </c:pt>
                <c:pt idx="1">
                  <c:v>24000</c:v>
                </c:pt>
                <c:pt idx="2">
                  <c:v>14000</c:v>
                </c:pt>
                <c:pt idx="3">
                  <c:v>250000</c:v>
                </c:pt>
                <c:pt idx="4">
                  <c:v>1000</c:v>
                </c:pt>
                <c:pt idx="5">
                  <c:v>80000</c:v>
                </c:pt>
                <c:pt idx="6">
                  <c:v>2500</c:v>
                </c:pt>
                <c:pt idx="7">
                  <c:v>12000</c:v>
                </c:pt>
                <c:pt idx="8">
                  <c:v>101500</c:v>
                </c:pt>
                <c:pt idx="9">
                  <c:v>15000</c:v>
                </c:pt>
                <c:pt idx="10">
                  <c:v>25000</c:v>
                </c:pt>
                <c:pt idx="11">
                  <c:v>280000</c:v>
                </c:pt>
                <c:pt idx="12">
                  <c:v>200000</c:v>
                </c:pt>
                <c:pt idx="13">
                  <c:v>25000</c:v>
                </c:pt>
                <c:pt idx="14">
                  <c:v>49000</c:v>
                </c:pt>
                <c:pt idx="15">
                  <c:v>55000</c:v>
                </c:pt>
                <c:pt idx="16">
                  <c:v>24000</c:v>
                </c:pt>
                <c:pt idx="17">
                  <c:v>14000</c:v>
                </c:pt>
                <c:pt idx="18">
                  <c:v>250000</c:v>
                </c:pt>
                <c:pt idx="19">
                  <c:v>1000</c:v>
                </c:pt>
                <c:pt idx="20">
                  <c:v>80000</c:v>
                </c:pt>
                <c:pt idx="21">
                  <c:v>2500</c:v>
                </c:pt>
                <c:pt idx="22">
                  <c:v>12000</c:v>
                </c:pt>
                <c:pt idx="23">
                  <c:v>101500</c:v>
                </c:pt>
                <c:pt idx="24">
                  <c:v>15000</c:v>
                </c:pt>
                <c:pt idx="25">
                  <c:v>25000</c:v>
                </c:pt>
                <c:pt idx="26">
                  <c:v>280000</c:v>
                </c:pt>
                <c:pt idx="27">
                  <c:v>200000</c:v>
                </c:pt>
                <c:pt idx="28">
                  <c:v>25000</c:v>
                </c:pt>
                <c:pt idx="29">
                  <c:v>49000</c:v>
                </c:pt>
                <c:pt idx="30">
                  <c:v>55000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00-4640-98F6-BDCA618557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46844559"/>
        <c:axId val="167911247"/>
      </c:barChart>
      <c:catAx>
        <c:axId val="246844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11247"/>
        <c:crosses val="autoZero"/>
        <c:auto val="1"/>
        <c:lblAlgn val="ctr"/>
        <c:lblOffset val="100"/>
        <c:noMultiLvlLbl val="0"/>
      </c:catAx>
      <c:valAx>
        <c:axId val="167911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844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504825</xdr:colOff>
      <xdr:row>32</xdr:row>
      <xdr:rowOff>71437</xdr:rowOff>
    </xdr:from>
    <xdr:to>
      <xdr:col>5</xdr:col>
      <xdr:colOff>1009650</xdr:colOff>
      <xdr:row>46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746E83-D522-2DBB-337E-D967484DB9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219075</xdr:colOff>
      <xdr:row>3</xdr:row>
      <xdr:rowOff>52387</xdr:rowOff>
    </xdr:from>
    <xdr:to>
      <xdr:col>12</xdr:col>
      <xdr:colOff>523875</xdr:colOff>
      <xdr:row>17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9C04E8-A927-1379-DA2B-06873A7303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152400</xdr:colOff>
      <xdr:row>19</xdr:row>
      <xdr:rowOff>100012</xdr:rowOff>
    </xdr:from>
    <xdr:to>
      <xdr:col>12</xdr:col>
      <xdr:colOff>457200</xdr:colOff>
      <xdr:row>33</xdr:row>
      <xdr:rowOff>176212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4AEA47-7692-A6AA-A6A7-E387C24553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311.91472847222" createdVersion="8" refreshedVersion="8" minRefreshableVersion="3" recordCount="31" xr:uid="{89646B6D-3C83-4F96-A3A1-666B69C39098}">
  <cacheSource type="worksheet">
    <worksheetSource name="Table1"/>
  </cacheSource>
  <cacheFields count="9">
    <cacheField name="Order_Id" numFmtId="0">
      <sharedItems/>
    </cacheField>
    <cacheField name="Date" numFmtId="14">
      <sharedItems containsSemiMixedTypes="0" containsNonDate="0" containsDate="1" containsString="0" minDate="2026-10-01T00:00:00" maxDate="2026-11-01T00:00:00" count="31">
        <d v="2026-10-01T00:00:00"/>
        <d v="2026-10-02T00:00:00"/>
        <d v="2026-10-03T00:00:00"/>
        <d v="2026-10-04T00:00:00"/>
        <d v="2026-10-05T00:00:00"/>
        <d v="2026-10-06T00:00:00"/>
        <d v="2026-10-07T00:00:00"/>
        <d v="2026-10-08T00:00:00"/>
        <d v="2026-10-09T00:00:00"/>
        <d v="2026-10-10T00:00:00"/>
        <d v="2026-10-11T00:00:00"/>
        <d v="2026-10-12T00:00:00"/>
        <d v="2026-10-13T00:00:00"/>
        <d v="2026-10-14T00:00:00"/>
        <d v="2026-10-15T00:00:00"/>
        <d v="2026-10-16T00:00:00"/>
        <d v="2026-10-17T00:00:00"/>
        <d v="2026-10-18T00:00:00"/>
        <d v="2026-10-19T00:00:00"/>
        <d v="2026-10-20T00:00:00"/>
        <d v="2026-10-21T00:00:00"/>
        <d v="2026-10-22T00:00:00"/>
        <d v="2026-10-23T00:00:00"/>
        <d v="2026-10-24T00:00:00"/>
        <d v="2026-10-25T00:00:00"/>
        <d v="2026-10-26T00:00:00"/>
        <d v="2026-10-27T00:00:00"/>
        <d v="2026-10-28T00:00:00"/>
        <d v="2026-10-29T00:00:00"/>
        <d v="2026-10-30T00:00:00"/>
        <d v="2026-10-31T00:00:00"/>
      </sharedItems>
    </cacheField>
    <cacheField name="Product" numFmtId="0">
      <sharedItems count="16">
        <s v="Solar pad "/>
        <s v="PowerBatter"/>
        <s v="Books"/>
        <s v="Notes"/>
        <s v="Laptop"/>
        <s v="Phone"/>
        <s v="Tab"/>
        <s v="Tv"/>
        <s v="Watch"/>
        <s v="Board"/>
        <s v="Speaker"/>
        <s v="Snacks"/>
        <s v="Tablets"/>
        <s v="ToyCycle"/>
        <s v="Pen"/>
        <s v="White Cover"/>
      </sharedItems>
    </cacheField>
    <cacheField name="Pieces" numFmtId="0">
      <sharedItems containsSemiMixedTypes="0" containsString="0" containsNumber="1" containsInteger="1" minValue="1" maxValue="300"/>
    </cacheField>
    <cacheField name="Price" numFmtId="0">
      <sharedItems containsSemiMixedTypes="0" containsString="0" containsNumber="1" containsInteger="1" minValue="800" maxValue="140000"/>
    </cacheField>
    <cacheField name="Payment_Method" numFmtId="0">
      <sharedItems/>
    </cacheField>
    <cacheField name="Manager" numFmtId="0">
      <sharedItems/>
    </cacheField>
    <cacheField name="City" numFmtId="0">
      <sharedItems/>
    </cacheField>
    <cacheField name="Revenu" numFmtId="0">
      <sharedItems containsSemiMixedTypes="0" containsString="0" containsNumber="1" containsInteger="1" minValue="1000" maxValue="15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s v="A001"/>
    <x v="0"/>
    <x v="0"/>
    <n v="1"/>
    <n v="55000"/>
    <s v="Cash"/>
    <s v="Arun kumar"/>
    <s v="Chennai"/>
    <n v="55000"/>
  </r>
  <r>
    <s v="A002"/>
    <x v="1"/>
    <x v="1"/>
    <n v="1"/>
    <n v="49000"/>
    <s v="Gpay"/>
    <s v="Ragul"/>
    <s v="Pondy"/>
    <n v="49000"/>
  </r>
  <r>
    <s v="A003"/>
    <x v="2"/>
    <x v="2"/>
    <n v="10"/>
    <n v="2500"/>
    <s v="Cash"/>
    <s v="Priya"/>
    <s v="Pondy"/>
    <n v="25000"/>
  </r>
  <r>
    <s v="A004"/>
    <x v="3"/>
    <x v="3"/>
    <n v="40"/>
    <n v="5000"/>
    <s v="Gpay"/>
    <s v="Hema"/>
    <s v="Chennai"/>
    <n v="200000"/>
  </r>
  <r>
    <s v="A005"/>
    <x v="4"/>
    <x v="4"/>
    <n v="2"/>
    <n v="140000"/>
    <s v="Cash"/>
    <s v="Deepa"/>
    <s v="Chennai"/>
    <n v="280000"/>
  </r>
  <r>
    <s v="A006"/>
    <x v="5"/>
    <x v="5"/>
    <n v="1"/>
    <n v="25000"/>
    <s v="Gpay"/>
    <s v="Arun "/>
    <s v="Trichy"/>
    <n v="25000"/>
  </r>
  <r>
    <s v="A007"/>
    <x v="6"/>
    <x v="6"/>
    <n v="1"/>
    <n v="15000"/>
    <s v="Cash"/>
    <s v="Divya"/>
    <s v="Selam"/>
    <n v="15000"/>
  </r>
  <r>
    <s v="A008"/>
    <x v="7"/>
    <x v="7"/>
    <n v="1"/>
    <n v="101500"/>
    <s v="Cash"/>
    <s v="Ragul"/>
    <s v="Pondy"/>
    <n v="101500"/>
  </r>
  <r>
    <s v="A009"/>
    <x v="8"/>
    <x v="8"/>
    <n v="2"/>
    <n v="6000"/>
    <s v="Gpay"/>
    <s v="Arun kumar"/>
    <s v="Chennai"/>
    <n v="12000"/>
  </r>
  <r>
    <s v="A010"/>
    <x v="9"/>
    <x v="9"/>
    <n v="1"/>
    <n v="2500"/>
    <s v="Cash"/>
    <s v="Priya"/>
    <s v="Pondy"/>
    <n v="2500"/>
  </r>
  <r>
    <s v="A011"/>
    <x v="10"/>
    <x v="10"/>
    <n v="1"/>
    <n v="80000"/>
    <s v="Gpay"/>
    <s v="Hema"/>
    <s v="Trichy"/>
    <n v="80000"/>
  </r>
  <r>
    <s v="A012"/>
    <x v="11"/>
    <x v="11"/>
    <n v="1"/>
    <n v="1000"/>
    <s v="Cash"/>
    <s v="Deepa"/>
    <s v="Chennai"/>
    <n v="1000"/>
  </r>
  <r>
    <s v="A013"/>
    <x v="12"/>
    <x v="12"/>
    <n v="10"/>
    <n v="25000"/>
    <s v="Gpay"/>
    <s v="Arun"/>
    <s v="Selam"/>
    <n v="250000"/>
  </r>
  <r>
    <s v="A014"/>
    <x v="13"/>
    <x v="13"/>
    <n v="1"/>
    <n v="14000"/>
    <s v="Gpay"/>
    <s v="Priya"/>
    <s v="Pondy"/>
    <n v="14000"/>
  </r>
  <r>
    <s v="A015"/>
    <x v="14"/>
    <x v="14"/>
    <n v="30"/>
    <n v="800"/>
    <s v="Cash"/>
    <s v="Ragul"/>
    <s v="Pondy"/>
    <n v="24000"/>
  </r>
  <r>
    <s v="A016"/>
    <x v="15"/>
    <x v="0"/>
    <n v="1"/>
    <n v="55000"/>
    <s v="Cash"/>
    <s v="Arun kumar"/>
    <s v="Chennai"/>
    <n v="55000"/>
  </r>
  <r>
    <s v="A017"/>
    <x v="16"/>
    <x v="1"/>
    <n v="1"/>
    <n v="49000"/>
    <s v="Cash"/>
    <s v="Ragul"/>
    <s v="Pondy"/>
    <n v="49000"/>
  </r>
  <r>
    <s v="A018"/>
    <x v="17"/>
    <x v="2"/>
    <n v="10"/>
    <n v="2500"/>
    <s v="Cash"/>
    <s v="Priya"/>
    <s v="Pondy"/>
    <n v="25000"/>
  </r>
  <r>
    <s v="A019"/>
    <x v="18"/>
    <x v="3"/>
    <n v="40"/>
    <n v="5000"/>
    <s v="Cash"/>
    <s v="Hema"/>
    <s v="Chennai"/>
    <n v="200000"/>
  </r>
  <r>
    <s v="A020"/>
    <x v="19"/>
    <x v="4"/>
    <n v="2"/>
    <n v="140000"/>
    <s v="Cash"/>
    <s v="Deepa"/>
    <s v="Chennai"/>
    <n v="280000"/>
  </r>
  <r>
    <s v="A021"/>
    <x v="20"/>
    <x v="5"/>
    <n v="1"/>
    <n v="25000"/>
    <s v="Cash"/>
    <s v="Arun "/>
    <s v="Trichy"/>
    <n v="25000"/>
  </r>
  <r>
    <s v="A022"/>
    <x v="21"/>
    <x v="6"/>
    <n v="1"/>
    <n v="15000"/>
    <s v="Cash"/>
    <s v="Divya"/>
    <s v="Selam"/>
    <n v="15000"/>
  </r>
  <r>
    <s v="A023"/>
    <x v="22"/>
    <x v="7"/>
    <n v="1"/>
    <n v="101500"/>
    <s v="Cash"/>
    <s v="Ragul"/>
    <s v="Pondy"/>
    <n v="101500"/>
  </r>
  <r>
    <s v="A024"/>
    <x v="23"/>
    <x v="8"/>
    <n v="2"/>
    <n v="6000"/>
    <s v="Cash"/>
    <s v="Arun kumar"/>
    <s v="Chennai"/>
    <n v="12000"/>
  </r>
  <r>
    <s v="A025"/>
    <x v="24"/>
    <x v="9"/>
    <n v="1"/>
    <n v="2500"/>
    <s v="Cash"/>
    <s v="Priya"/>
    <s v="Pondy"/>
    <n v="2500"/>
  </r>
  <r>
    <s v="A026"/>
    <x v="25"/>
    <x v="10"/>
    <n v="1"/>
    <n v="80000"/>
    <s v="Cash"/>
    <s v="Hema"/>
    <s v="Trichy"/>
    <n v="80000"/>
  </r>
  <r>
    <s v="A027"/>
    <x v="26"/>
    <x v="11"/>
    <n v="1"/>
    <n v="1000"/>
    <s v="Cash"/>
    <s v="Deepa"/>
    <s v="Chennai"/>
    <n v="1000"/>
  </r>
  <r>
    <s v="A028"/>
    <x v="27"/>
    <x v="12"/>
    <n v="10"/>
    <n v="25000"/>
    <s v="Cash"/>
    <s v="Arun"/>
    <s v="Selam"/>
    <n v="250000"/>
  </r>
  <r>
    <s v="A029"/>
    <x v="28"/>
    <x v="13"/>
    <n v="1"/>
    <n v="14000"/>
    <s v="Cash"/>
    <s v="Priya"/>
    <s v="Pondy"/>
    <n v="14000"/>
  </r>
  <r>
    <s v="A030"/>
    <x v="29"/>
    <x v="14"/>
    <n v="30"/>
    <n v="800"/>
    <s v="Cash"/>
    <s v="Ragul"/>
    <s v="Pondy"/>
    <n v="24000"/>
  </r>
  <r>
    <s v="A031"/>
    <x v="30"/>
    <x v="15"/>
    <n v="300"/>
    <n v="5000"/>
    <s v="Gpay"/>
    <s v="vivek"/>
    <s v="Selam"/>
    <n v="150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8EB66F-BAF3-4C76-AD44-67ABC0B22982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2">
  <location ref="O2:P33" firstHeaderRow="1" firstDataRow="1" firstDataCol="1"/>
  <pivotFields count="9">
    <pivotField compact="0" outline="0" showAll="0"/>
    <pivotField axis="axisRow" compact="0" numFmtId="164" outline="0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compact="0" outline="0" showAll="0">
      <items count="17">
        <item x="9"/>
        <item x="2"/>
        <item x="4"/>
        <item x="3"/>
        <item x="14"/>
        <item x="5"/>
        <item x="1"/>
        <item x="11"/>
        <item x="0"/>
        <item x="10"/>
        <item x="6"/>
        <item x="12"/>
        <item x="13"/>
        <item x="7"/>
        <item x="8"/>
        <item x="1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1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</rowItems>
  <colItems count="1">
    <i/>
  </colItems>
  <dataFields count="1">
    <dataField name="Sum of Revenu" fld="8" baseField="1" baseItem="8" numFmtId="4"/>
  </dataFields>
  <chartFormats count="1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88827F-AECA-47D2-820D-CE89253F9D50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9">
  <location ref="D3:E34" firstHeaderRow="1" firstDataRow="1" firstDataCol="1"/>
  <pivotFields count="9">
    <pivotField compact="0" outline="0" showAll="0"/>
    <pivotField axis="axisRow" compact="0" numFmtId="164" outline="0" showAll="0" sortType="descending">
      <items count="32"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compact="0" outline="0" showAll="0">
      <items count="17">
        <item x="9"/>
        <item x="2"/>
        <item x="4"/>
        <item x="3"/>
        <item x="14"/>
        <item x="5"/>
        <item x="1"/>
        <item x="11"/>
        <item x="0"/>
        <item x="10"/>
        <item x="6"/>
        <item x="12"/>
        <item x="13"/>
        <item x="7"/>
        <item x="8"/>
        <item x="1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1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</rowItems>
  <colItems count="1">
    <i/>
  </colItems>
  <dataFields count="1">
    <dataField name="Sum of Revenu" fld="8" baseField="1" baseItem="8" numFmtId="4"/>
  </dataFields>
  <chartFormats count="2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80F440-D046-4395-A149-A943E22D156B}" name="Table1" displayName="Table1" ref="A1:I32" totalsRowShown="0">
  <autoFilter ref="A1:I32" xr:uid="{4F80F440-D046-4395-A149-A943E22D156B}"/>
  <tableColumns count="9">
    <tableColumn id="1" xr3:uid="{3FF5AD46-11AE-43E6-A188-3D3FE102E542}" name="Order_Id"/>
    <tableColumn id="2" xr3:uid="{35197C90-A5ED-413D-BE9E-1D51824766B6}" name="Date" dataDxfId="1"/>
    <tableColumn id="3" xr3:uid="{0880A881-7C9F-4257-938F-CADAE4BE5748}" name="Product"/>
    <tableColumn id="4" xr3:uid="{EB6B400C-184D-4ACF-B019-C783A84F0F45}" name="Pieces"/>
    <tableColumn id="5" xr3:uid="{82C10A24-0990-4016-807D-6CFF4DBE7612}" name="Price"/>
    <tableColumn id="6" xr3:uid="{DAF1D775-9CE8-4A0F-B69A-2AE08445B584}" name="Payment_Method"/>
    <tableColumn id="7" xr3:uid="{CCC6EB89-8EE8-401B-A25F-E463AF6401AB}" name="Manager"/>
    <tableColumn id="8" xr3:uid="{94EF55DC-3EF7-463C-AD1A-10CB707E3F8C}" name="City"/>
    <tableColumn id="9" xr3:uid="{FE684D95-49F3-4616-927A-D29E286C97A8}" name="Revenu" dataDxfId="0">
      <calculatedColumnFormula>Table1[[#This Row],[Pieces]]*Table1[[#This Row],[Price]]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DE412-FAC5-4475-8C95-B967E7D73245}">
  <dimension ref="A1:N32"/>
  <sheetViews>
    <sheetView topLeftCell="A14" workbookViewId="0">
      <selection activeCell="G2" sqref="G2:G16"/>
    </sheetView>
  </sheetViews>
  <sheetFormatPr defaultRowHeight="15" x14ac:dyDescent="0.25"/>
  <cols>
    <col min="1" max="1" width="10.85546875" customWidth="1"/>
    <col min="2" max="2" width="11.85546875" customWidth="1"/>
    <col min="3" max="3" width="11.5703125" bestFit="1" customWidth="1"/>
    <col min="4" max="4" width="9.140625" customWidth="1"/>
    <col min="5" max="5" width="17.5703125" customWidth="1"/>
    <col min="6" max="6" width="18.7109375" customWidth="1"/>
    <col min="7" max="7" width="10.7109375" customWidth="1"/>
    <col min="9" max="9" width="9.140625" customWidth="1"/>
    <col min="13" max="13" width="9.42578125" customWidth="1"/>
    <col min="14" max="14" width="14.140625" customWidth="1"/>
  </cols>
  <sheetData>
    <row r="1" spans="1:14" x14ac:dyDescent="0.25">
      <c r="A1" t="s">
        <v>0</v>
      </c>
      <c r="B1" t="s">
        <v>2</v>
      </c>
      <c r="C1" t="s">
        <v>3</v>
      </c>
      <c r="D1" t="s">
        <v>57</v>
      </c>
      <c r="E1" t="s">
        <v>4</v>
      </c>
      <c r="F1" t="s">
        <v>5</v>
      </c>
      <c r="G1" t="s">
        <v>6</v>
      </c>
      <c r="H1" t="s">
        <v>7</v>
      </c>
      <c r="I1" t="s">
        <v>70</v>
      </c>
    </row>
    <row r="2" spans="1:14" x14ac:dyDescent="0.25">
      <c r="A2" t="s">
        <v>1</v>
      </c>
      <c r="B2" s="1">
        <v>46296</v>
      </c>
      <c r="C2" t="s">
        <v>27</v>
      </c>
      <c r="D2">
        <v>1</v>
      </c>
      <c r="E2">
        <v>55000</v>
      </c>
      <c r="F2" t="s">
        <v>28</v>
      </c>
      <c r="G2" t="s">
        <v>29</v>
      </c>
      <c r="H2" t="s">
        <v>30</v>
      </c>
      <c r="I2">
        <f>Table1[[#This Row],[Pieces]]*Table1[[#This Row],[Price]]</f>
        <v>55000</v>
      </c>
    </row>
    <row r="3" spans="1:14" x14ac:dyDescent="0.25">
      <c r="A3" t="s">
        <v>8</v>
      </c>
      <c r="B3" s="1">
        <v>46297</v>
      </c>
      <c r="C3" t="s">
        <v>45</v>
      </c>
      <c r="D3">
        <v>1</v>
      </c>
      <c r="E3">
        <v>49000</v>
      </c>
      <c r="F3" t="s">
        <v>31</v>
      </c>
      <c r="G3" t="s">
        <v>32</v>
      </c>
      <c r="H3" t="s">
        <v>33</v>
      </c>
      <c r="I3">
        <f>Table1[[#This Row],[Pieces]]*Table1[[#This Row],[Price]]</f>
        <v>49000</v>
      </c>
    </row>
    <row r="4" spans="1:14" x14ac:dyDescent="0.25">
      <c r="A4" t="s">
        <v>9</v>
      </c>
      <c r="B4" s="1">
        <v>46298</v>
      </c>
      <c r="C4" t="s">
        <v>46</v>
      </c>
      <c r="D4">
        <v>10</v>
      </c>
      <c r="E4">
        <v>2500</v>
      </c>
      <c r="F4" t="s">
        <v>28</v>
      </c>
      <c r="G4" t="s">
        <v>60</v>
      </c>
      <c r="H4" t="s">
        <v>33</v>
      </c>
      <c r="I4">
        <f>Table1[[#This Row],[Pieces]]*Table1[[#This Row],[Price]]</f>
        <v>25000</v>
      </c>
    </row>
    <row r="5" spans="1:14" x14ac:dyDescent="0.25">
      <c r="A5" t="s">
        <v>10</v>
      </c>
      <c r="B5" s="1">
        <v>46299</v>
      </c>
      <c r="C5" t="s">
        <v>47</v>
      </c>
      <c r="D5">
        <v>40</v>
      </c>
      <c r="E5">
        <v>5000</v>
      </c>
      <c r="F5" t="s">
        <v>31</v>
      </c>
      <c r="G5" t="s">
        <v>61</v>
      </c>
      <c r="H5" t="s">
        <v>30</v>
      </c>
      <c r="I5">
        <f>Table1[[#This Row],[Pieces]]*Table1[[#This Row],[Price]]</f>
        <v>200000</v>
      </c>
    </row>
    <row r="6" spans="1:14" x14ac:dyDescent="0.25">
      <c r="A6" t="s">
        <v>11</v>
      </c>
      <c r="B6" s="1">
        <v>46300</v>
      </c>
      <c r="C6" t="s">
        <v>48</v>
      </c>
      <c r="D6">
        <v>2</v>
      </c>
      <c r="E6">
        <v>140000</v>
      </c>
      <c r="F6" t="s">
        <v>28</v>
      </c>
      <c r="G6" t="s">
        <v>62</v>
      </c>
      <c r="H6" t="s">
        <v>30</v>
      </c>
      <c r="I6">
        <f>Table1[[#This Row],[Pieces]]*Table1[[#This Row],[Price]]</f>
        <v>280000</v>
      </c>
    </row>
    <row r="7" spans="1:14" x14ac:dyDescent="0.25">
      <c r="A7" t="s">
        <v>12</v>
      </c>
      <c r="B7" s="1">
        <v>46301</v>
      </c>
      <c r="C7" t="s">
        <v>49</v>
      </c>
      <c r="D7">
        <v>1</v>
      </c>
      <c r="E7">
        <v>25000</v>
      </c>
      <c r="F7" t="s">
        <v>31</v>
      </c>
      <c r="G7" t="s">
        <v>63</v>
      </c>
      <c r="H7" t="s">
        <v>64</v>
      </c>
      <c r="I7">
        <f>Table1[[#This Row],[Pieces]]*Table1[[#This Row],[Price]]</f>
        <v>25000</v>
      </c>
    </row>
    <row r="8" spans="1:14" x14ac:dyDescent="0.25">
      <c r="A8" t="s">
        <v>13</v>
      </c>
      <c r="B8" s="1">
        <v>46302</v>
      </c>
      <c r="C8" t="s">
        <v>50</v>
      </c>
      <c r="D8">
        <v>1</v>
      </c>
      <c r="E8">
        <v>15000</v>
      </c>
      <c r="F8" t="s">
        <v>28</v>
      </c>
      <c r="G8" t="s">
        <v>65</v>
      </c>
      <c r="H8" t="s">
        <v>66</v>
      </c>
      <c r="I8">
        <f>Table1[[#This Row],[Pieces]]*Table1[[#This Row],[Price]]</f>
        <v>15000</v>
      </c>
    </row>
    <row r="9" spans="1:14" x14ac:dyDescent="0.25">
      <c r="A9" t="s">
        <v>14</v>
      </c>
      <c r="B9" s="1">
        <v>46303</v>
      </c>
      <c r="C9" t="s">
        <v>51</v>
      </c>
      <c r="D9">
        <v>1</v>
      </c>
      <c r="E9">
        <v>101500</v>
      </c>
      <c r="F9" t="s">
        <v>28</v>
      </c>
      <c r="G9" t="s">
        <v>32</v>
      </c>
      <c r="H9" t="s">
        <v>33</v>
      </c>
      <c r="I9">
        <f>Table1[[#This Row],[Pieces]]*Table1[[#This Row],[Price]]</f>
        <v>101500</v>
      </c>
    </row>
    <row r="10" spans="1:14" x14ac:dyDescent="0.25">
      <c r="A10" t="s">
        <v>15</v>
      </c>
      <c r="B10" s="1">
        <v>46304</v>
      </c>
      <c r="C10" t="s">
        <v>52</v>
      </c>
      <c r="D10">
        <v>2</v>
      </c>
      <c r="E10">
        <v>6000</v>
      </c>
      <c r="F10" t="s">
        <v>31</v>
      </c>
      <c r="G10" t="s">
        <v>29</v>
      </c>
      <c r="H10" t="s">
        <v>30</v>
      </c>
      <c r="I10">
        <f>Table1[[#This Row],[Pieces]]*Table1[[#This Row],[Price]]</f>
        <v>12000</v>
      </c>
    </row>
    <row r="11" spans="1:14" x14ac:dyDescent="0.25">
      <c r="A11" t="s">
        <v>16</v>
      </c>
      <c r="B11" s="1">
        <v>46305</v>
      </c>
      <c r="C11" t="s">
        <v>53</v>
      </c>
      <c r="D11">
        <v>1</v>
      </c>
      <c r="E11">
        <v>2500</v>
      </c>
      <c r="F11" t="s">
        <v>28</v>
      </c>
      <c r="G11" t="s">
        <v>60</v>
      </c>
      <c r="H11" t="s">
        <v>33</v>
      </c>
      <c r="I11">
        <f>Table1[[#This Row],[Pieces]]*Table1[[#This Row],[Price]]</f>
        <v>2500</v>
      </c>
    </row>
    <row r="12" spans="1:14" x14ac:dyDescent="0.25">
      <c r="A12" t="s">
        <v>17</v>
      </c>
      <c r="B12" s="1">
        <v>46306</v>
      </c>
      <c r="C12" t="s">
        <v>54</v>
      </c>
      <c r="D12">
        <v>1</v>
      </c>
      <c r="E12">
        <v>80000</v>
      </c>
      <c r="F12" t="s">
        <v>31</v>
      </c>
      <c r="G12" t="s">
        <v>61</v>
      </c>
      <c r="H12" t="s">
        <v>64</v>
      </c>
      <c r="I12">
        <f>Table1[[#This Row],[Pieces]]*Table1[[#This Row],[Price]]</f>
        <v>80000</v>
      </c>
    </row>
    <row r="13" spans="1:14" ht="15.75" thickBot="1" x14ac:dyDescent="0.3">
      <c r="A13" t="s">
        <v>18</v>
      </c>
      <c r="B13" s="1">
        <v>46307</v>
      </c>
      <c r="C13" t="s">
        <v>55</v>
      </c>
      <c r="D13">
        <v>1</v>
      </c>
      <c r="E13">
        <v>1000</v>
      </c>
      <c r="F13" t="s">
        <v>28</v>
      </c>
      <c r="G13" t="s">
        <v>62</v>
      </c>
      <c r="H13" t="s">
        <v>30</v>
      </c>
      <c r="I13">
        <f>Table1[[#This Row],[Pieces]]*Table1[[#This Row],[Price]]</f>
        <v>1000</v>
      </c>
    </row>
    <row r="14" spans="1:14" x14ac:dyDescent="0.25">
      <c r="A14" t="s">
        <v>19</v>
      </c>
      <c r="B14" s="1">
        <v>46308</v>
      </c>
      <c r="C14" t="s">
        <v>56</v>
      </c>
      <c r="D14">
        <v>10</v>
      </c>
      <c r="E14">
        <v>25000</v>
      </c>
      <c r="F14" t="s">
        <v>31</v>
      </c>
      <c r="G14" t="s">
        <v>67</v>
      </c>
      <c r="H14" t="s">
        <v>66</v>
      </c>
      <c r="I14">
        <f>Table1[[#This Row],[Pieces]]*Table1[[#This Row],[Price]]</f>
        <v>250000</v>
      </c>
      <c r="M14" s="3" t="s">
        <v>71</v>
      </c>
      <c r="N14" s="3"/>
    </row>
    <row r="15" spans="1:14" x14ac:dyDescent="0.25">
      <c r="A15" t="s">
        <v>20</v>
      </c>
      <c r="B15" s="1">
        <v>46309</v>
      </c>
      <c r="C15" t="s">
        <v>58</v>
      </c>
      <c r="D15">
        <v>1</v>
      </c>
      <c r="E15">
        <v>14000</v>
      </c>
      <c r="F15" t="s">
        <v>31</v>
      </c>
      <c r="G15" t="s">
        <v>60</v>
      </c>
      <c r="H15" t="s">
        <v>33</v>
      </c>
      <c r="I15">
        <f>Table1[[#This Row],[Pieces]]*Table1[[#This Row],[Price]]</f>
        <v>14000</v>
      </c>
    </row>
    <row r="16" spans="1:14" x14ac:dyDescent="0.25">
      <c r="A16" t="s">
        <v>21</v>
      </c>
      <c r="B16" s="1">
        <v>46310</v>
      </c>
      <c r="C16" t="s">
        <v>59</v>
      </c>
      <c r="D16">
        <v>30</v>
      </c>
      <c r="E16">
        <v>800</v>
      </c>
      <c r="F16" t="s">
        <v>28</v>
      </c>
      <c r="G16" t="s">
        <v>32</v>
      </c>
      <c r="H16" t="s">
        <v>33</v>
      </c>
      <c r="I16">
        <f>Table1[[#This Row],[Pieces]]*Table1[[#This Row],[Price]]</f>
        <v>24000</v>
      </c>
      <c r="M16" t="s">
        <v>72</v>
      </c>
      <c r="N16">
        <v>121548.3870967742</v>
      </c>
    </row>
    <row r="17" spans="1:14" x14ac:dyDescent="0.25">
      <c r="A17" t="s">
        <v>22</v>
      </c>
      <c r="B17" s="1">
        <v>46311</v>
      </c>
      <c r="C17" t="s">
        <v>27</v>
      </c>
      <c r="D17">
        <v>1</v>
      </c>
      <c r="E17">
        <v>55000</v>
      </c>
      <c r="F17" t="s">
        <v>28</v>
      </c>
      <c r="G17" t="s">
        <v>29</v>
      </c>
      <c r="H17" t="s">
        <v>30</v>
      </c>
      <c r="I17">
        <f>Table1[[#This Row],[Pieces]]*Table1[[#This Row],[Price]]</f>
        <v>55000</v>
      </c>
      <c r="M17" t="s">
        <v>73</v>
      </c>
      <c r="N17">
        <v>48668.93510789959</v>
      </c>
    </row>
    <row r="18" spans="1:14" x14ac:dyDescent="0.25">
      <c r="A18" t="s">
        <v>23</v>
      </c>
      <c r="B18" s="1">
        <v>46312</v>
      </c>
      <c r="C18" t="s">
        <v>45</v>
      </c>
      <c r="D18">
        <v>1</v>
      </c>
      <c r="E18">
        <v>49000</v>
      </c>
      <c r="F18" t="s">
        <v>28</v>
      </c>
      <c r="G18" t="s">
        <v>32</v>
      </c>
      <c r="H18" t="s">
        <v>33</v>
      </c>
      <c r="I18">
        <f>Table1[[#This Row],[Pieces]]*Table1[[#This Row],[Price]]</f>
        <v>49000</v>
      </c>
      <c r="M18" t="s">
        <v>74</v>
      </c>
      <c r="N18">
        <v>25000</v>
      </c>
    </row>
    <row r="19" spans="1:14" x14ac:dyDescent="0.25">
      <c r="A19" t="s">
        <v>24</v>
      </c>
      <c r="B19" s="1">
        <v>46313</v>
      </c>
      <c r="C19" t="s">
        <v>46</v>
      </c>
      <c r="D19">
        <v>10</v>
      </c>
      <c r="E19">
        <v>2500</v>
      </c>
      <c r="F19" t="s">
        <v>28</v>
      </c>
      <c r="G19" t="s">
        <v>60</v>
      </c>
      <c r="H19" t="s">
        <v>33</v>
      </c>
      <c r="I19">
        <f>Table1[[#This Row],[Pieces]]*Table1[[#This Row],[Price]]</f>
        <v>25000</v>
      </c>
      <c r="M19" t="s">
        <v>75</v>
      </c>
      <c r="N19">
        <v>25000</v>
      </c>
    </row>
    <row r="20" spans="1:14" x14ac:dyDescent="0.25">
      <c r="A20" t="s">
        <v>25</v>
      </c>
      <c r="B20" s="1">
        <v>46314</v>
      </c>
      <c r="C20" t="s">
        <v>47</v>
      </c>
      <c r="D20">
        <v>40</v>
      </c>
      <c r="E20">
        <v>5000</v>
      </c>
      <c r="F20" t="s">
        <v>28</v>
      </c>
      <c r="G20" t="s">
        <v>61</v>
      </c>
      <c r="H20" t="s">
        <v>30</v>
      </c>
      <c r="I20">
        <f>Table1[[#This Row],[Pieces]]*Table1[[#This Row],[Price]]</f>
        <v>200000</v>
      </c>
      <c r="M20" t="s">
        <v>76</v>
      </c>
      <c r="N20">
        <v>270977.16247065022</v>
      </c>
    </row>
    <row r="21" spans="1:14" x14ac:dyDescent="0.25">
      <c r="A21" t="s">
        <v>26</v>
      </c>
      <c r="B21" s="1">
        <v>46315</v>
      </c>
      <c r="C21" t="s">
        <v>48</v>
      </c>
      <c r="D21">
        <v>2</v>
      </c>
      <c r="E21">
        <v>140000</v>
      </c>
      <c r="F21" t="s">
        <v>28</v>
      </c>
      <c r="G21" t="s">
        <v>62</v>
      </c>
      <c r="H21" t="s">
        <v>30</v>
      </c>
      <c r="I21">
        <f>Table1[[#This Row],[Pieces]]*Table1[[#This Row],[Price]]</f>
        <v>280000</v>
      </c>
      <c r="M21" t="s">
        <v>77</v>
      </c>
      <c r="N21">
        <v>73428622580.645172</v>
      </c>
    </row>
    <row r="22" spans="1:14" x14ac:dyDescent="0.25">
      <c r="A22" t="s">
        <v>34</v>
      </c>
      <c r="B22" s="1">
        <v>46316</v>
      </c>
      <c r="C22" t="s">
        <v>49</v>
      </c>
      <c r="D22">
        <v>1</v>
      </c>
      <c r="E22">
        <v>25000</v>
      </c>
      <c r="F22" t="s">
        <v>28</v>
      </c>
      <c r="G22" t="s">
        <v>63</v>
      </c>
      <c r="H22" t="s">
        <v>64</v>
      </c>
      <c r="I22">
        <f>Table1[[#This Row],[Pieces]]*Table1[[#This Row],[Price]]</f>
        <v>25000</v>
      </c>
      <c r="M22" t="s">
        <v>78</v>
      </c>
      <c r="N22">
        <v>23.975237925724784</v>
      </c>
    </row>
    <row r="23" spans="1:14" x14ac:dyDescent="0.25">
      <c r="A23" t="s">
        <v>35</v>
      </c>
      <c r="B23" s="1">
        <v>46317</v>
      </c>
      <c r="C23" t="s">
        <v>50</v>
      </c>
      <c r="D23">
        <v>1</v>
      </c>
      <c r="E23">
        <v>15000</v>
      </c>
      <c r="F23" t="s">
        <v>28</v>
      </c>
      <c r="G23" t="s">
        <v>65</v>
      </c>
      <c r="H23" t="s">
        <v>66</v>
      </c>
      <c r="I23">
        <f>Table1[[#This Row],[Pieces]]*Table1[[#This Row],[Price]]</f>
        <v>15000</v>
      </c>
      <c r="M23" t="s">
        <v>79</v>
      </c>
      <c r="N23">
        <v>4.6757729219424293</v>
      </c>
    </row>
    <row r="24" spans="1:14" x14ac:dyDescent="0.25">
      <c r="A24" t="s">
        <v>36</v>
      </c>
      <c r="B24" s="1">
        <v>46318</v>
      </c>
      <c r="C24" t="s">
        <v>51</v>
      </c>
      <c r="D24">
        <v>1</v>
      </c>
      <c r="E24">
        <v>101500</v>
      </c>
      <c r="F24" t="s">
        <v>28</v>
      </c>
      <c r="G24" t="s">
        <v>32</v>
      </c>
      <c r="H24" t="s">
        <v>33</v>
      </c>
      <c r="I24">
        <f>Table1[[#This Row],[Pieces]]*Table1[[#This Row],[Price]]</f>
        <v>101500</v>
      </c>
      <c r="M24" t="s">
        <v>80</v>
      </c>
      <c r="N24">
        <v>1499000</v>
      </c>
    </row>
    <row r="25" spans="1:14" x14ac:dyDescent="0.25">
      <c r="A25" t="s">
        <v>37</v>
      </c>
      <c r="B25" s="1">
        <v>46319</v>
      </c>
      <c r="C25" t="s">
        <v>52</v>
      </c>
      <c r="D25">
        <v>2</v>
      </c>
      <c r="E25">
        <v>6000</v>
      </c>
      <c r="F25" t="s">
        <v>28</v>
      </c>
      <c r="G25" t="s">
        <v>29</v>
      </c>
      <c r="H25" t="s">
        <v>30</v>
      </c>
      <c r="I25">
        <f>Table1[[#This Row],[Pieces]]*Table1[[#This Row],[Price]]</f>
        <v>12000</v>
      </c>
      <c r="M25" t="s">
        <v>81</v>
      </c>
      <c r="N25">
        <v>1000</v>
      </c>
    </row>
    <row r="26" spans="1:14" x14ac:dyDescent="0.25">
      <c r="A26" t="s">
        <v>38</v>
      </c>
      <c r="B26" s="1">
        <v>46320</v>
      </c>
      <c r="C26" t="s">
        <v>53</v>
      </c>
      <c r="D26">
        <v>1</v>
      </c>
      <c r="E26">
        <v>2500</v>
      </c>
      <c r="F26" t="s">
        <v>28</v>
      </c>
      <c r="G26" t="s">
        <v>60</v>
      </c>
      <c r="H26" t="s">
        <v>33</v>
      </c>
      <c r="I26">
        <f>Table1[[#This Row],[Pieces]]*Table1[[#This Row],[Price]]</f>
        <v>2500</v>
      </c>
      <c r="M26" t="s">
        <v>82</v>
      </c>
      <c r="N26">
        <v>1500000</v>
      </c>
    </row>
    <row r="27" spans="1:14" x14ac:dyDescent="0.25">
      <c r="A27" t="s">
        <v>39</v>
      </c>
      <c r="B27" s="1">
        <v>46321</v>
      </c>
      <c r="C27" t="s">
        <v>54</v>
      </c>
      <c r="D27">
        <v>1</v>
      </c>
      <c r="E27">
        <v>80000</v>
      </c>
      <c r="F27" t="s">
        <v>28</v>
      </c>
      <c r="G27" t="s">
        <v>61</v>
      </c>
      <c r="H27" t="s">
        <v>64</v>
      </c>
      <c r="I27">
        <f>Table1[[#This Row],[Pieces]]*Table1[[#This Row],[Price]]</f>
        <v>80000</v>
      </c>
      <c r="M27" t="s">
        <v>83</v>
      </c>
      <c r="N27">
        <v>3768000</v>
      </c>
    </row>
    <row r="28" spans="1:14" ht="15.75" thickBot="1" x14ac:dyDescent="0.3">
      <c r="A28" t="s">
        <v>40</v>
      </c>
      <c r="B28" s="1">
        <v>46322</v>
      </c>
      <c r="C28" t="s">
        <v>55</v>
      </c>
      <c r="D28">
        <v>1</v>
      </c>
      <c r="E28">
        <v>1000</v>
      </c>
      <c r="F28" t="s">
        <v>28</v>
      </c>
      <c r="G28" t="s">
        <v>62</v>
      </c>
      <c r="H28" t="s">
        <v>30</v>
      </c>
      <c r="I28">
        <f>Table1[[#This Row],[Pieces]]*Table1[[#This Row],[Price]]</f>
        <v>1000</v>
      </c>
      <c r="M28" s="2" t="s">
        <v>84</v>
      </c>
      <c r="N28" s="2">
        <v>31</v>
      </c>
    </row>
    <row r="29" spans="1:14" x14ac:dyDescent="0.25">
      <c r="A29" t="s">
        <v>41</v>
      </c>
      <c r="B29" s="1">
        <v>46323</v>
      </c>
      <c r="C29" t="s">
        <v>56</v>
      </c>
      <c r="D29">
        <v>10</v>
      </c>
      <c r="E29">
        <v>25000</v>
      </c>
      <c r="F29" t="s">
        <v>28</v>
      </c>
      <c r="G29" t="s">
        <v>67</v>
      </c>
      <c r="H29" t="s">
        <v>66</v>
      </c>
      <c r="I29">
        <f>Table1[[#This Row],[Pieces]]*Table1[[#This Row],[Price]]</f>
        <v>250000</v>
      </c>
    </row>
    <row r="30" spans="1:14" x14ac:dyDescent="0.25">
      <c r="A30" t="s">
        <v>42</v>
      </c>
      <c r="B30" s="1">
        <v>46324</v>
      </c>
      <c r="C30" t="s">
        <v>58</v>
      </c>
      <c r="D30">
        <v>1</v>
      </c>
      <c r="E30">
        <v>14000</v>
      </c>
      <c r="F30" t="s">
        <v>28</v>
      </c>
      <c r="G30" t="s">
        <v>60</v>
      </c>
      <c r="H30" t="s">
        <v>33</v>
      </c>
      <c r="I30">
        <f>Table1[[#This Row],[Pieces]]*Table1[[#This Row],[Price]]</f>
        <v>14000</v>
      </c>
    </row>
    <row r="31" spans="1:14" x14ac:dyDescent="0.25">
      <c r="A31" t="s">
        <v>43</v>
      </c>
      <c r="B31" s="1">
        <v>46325</v>
      </c>
      <c r="C31" t="s">
        <v>59</v>
      </c>
      <c r="D31">
        <v>30</v>
      </c>
      <c r="E31">
        <v>800</v>
      </c>
      <c r="F31" t="s">
        <v>28</v>
      </c>
      <c r="G31" t="s">
        <v>32</v>
      </c>
      <c r="H31" t="s">
        <v>33</v>
      </c>
      <c r="I31">
        <f>Table1[[#This Row],[Pieces]]*Table1[[#This Row],[Price]]</f>
        <v>24000</v>
      </c>
    </row>
    <row r="32" spans="1:14" x14ac:dyDescent="0.25">
      <c r="A32" t="s">
        <v>44</v>
      </c>
      <c r="B32" s="1">
        <v>46326</v>
      </c>
      <c r="C32" t="s">
        <v>68</v>
      </c>
      <c r="D32">
        <v>300</v>
      </c>
      <c r="E32">
        <v>5000</v>
      </c>
      <c r="F32" t="s">
        <v>31</v>
      </c>
      <c r="G32" t="s">
        <v>69</v>
      </c>
      <c r="H32" t="s">
        <v>66</v>
      </c>
      <c r="I32">
        <f>Table1[[#This Row],[Pieces]]*Table1[[#This Row],[Price]]</f>
        <v>1500000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C4610-B564-4E4E-A2BB-9BA756299AD8}">
  <dimension ref="A1:P34"/>
  <sheetViews>
    <sheetView tabSelected="1" workbookViewId="0">
      <selection activeCell="A26" sqref="A26"/>
    </sheetView>
  </sheetViews>
  <sheetFormatPr defaultRowHeight="15" x14ac:dyDescent="0.25"/>
  <cols>
    <col min="1" max="1" width="27.28515625" bestFit="1" customWidth="1"/>
    <col min="4" max="4" width="15" bestFit="1" customWidth="1"/>
    <col min="5" max="5" width="14.7109375" bestFit="1" customWidth="1"/>
    <col min="14" max="14" width="4.28515625" customWidth="1"/>
    <col min="15" max="15" width="15.28515625" customWidth="1"/>
    <col min="16" max="16" width="12.85546875" customWidth="1"/>
  </cols>
  <sheetData>
    <row r="1" spans="1:16" x14ac:dyDescent="0.25">
      <c r="A1" t="s">
        <v>87</v>
      </c>
      <c r="B1" t="s">
        <v>48</v>
      </c>
    </row>
    <row r="2" spans="1:16" x14ac:dyDescent="0.25">
      <c r="A2" t="s">
        <v>86</v>
      </c>
      <c r="O2" s="4" t="s">
        <v>2</v>
      </c>
      <c r="P2" t="s">
        <v>88</v>
      </c>
    </row>
    <row r="3" spans="1:16" x14ac:dyDescent="0.25">
      <c r="A3" t="s">
        <v>85</v>
      </c>
      <c r="D3" s="4" t="s">
        <v>2</v>
      </c>
      <c r="E3" t="s">
        <v>88</v>
      </c>
      <c r="O3" s="6">
        <v>46296</v>
      </c>
      <c r="P3" s="5">
        <v>55000</v>
      </c>
    </row>
    <row r="4" spans="1:16" x14ac:dyDescent="0.25">
      <c r="D4" s="6">
        <v>46326</v>
      </c>
      <c r="E4" s="5">
        <v>1500000</v>
      </c>
      <c r="O4" s="6">
        <v>46297</v>
      </c>
      <c r="P4" s="5">
        <v>49000</v>
      </c>
    </row>
    <row r="5" spans="1:16" x14ac:dyDescent="0.25">
      <c r="D5" s="6">
        <v>46325</v>
      </c>
      <c r="E5" s="5">
        <v>24000</v>
      </c>
      <c r="O5" s="6">
        <v>46298</v>
      </c>
      <c r="P5" s="5">
        <v>25000</v>
      </c>
    </row>
    <row r="6" spans="1:16" x14ac:dyDescent="0.25">
      <c r="D6" s="6">
        <v>46324</v>
      </c>
      <c r="E6" s="5">
        <v>14000</v>
      </c>
      <c r="O6" s="6">
        <v>46299</v>
      </c>
      <c r="P6" s="5">
        <v>200000</v>
      </c>
    </row>
    <row r="7" spans="1:16" x14ac:dyDescent="0.25">
      <c r="D7" s="6">
        <v>46323</v>
      </c>
      <c r="E7" s="5">
        <v>250000</v>
      </c>
      <c r="O7" s="6">
        <v>46300</v>
      </c>
      <c r="P7" s="5">
        <v>280000</v>
      </c>
    </row>
    <row r="8" spans="1:16" x14ac:dyDescent="0.25">
      <c r="D8" s="6">
        <v>46322</v>
      </c>
      <c r="E8" s="5">
        <v>1000</v>
      </c>
      <c r="O8" s="6">
        <v>46301</v>
      </c>
      <c r="P8" s="5">
        <v>25000</v>
      </c>
    </row>
    <row r="9" spans="1:16" x14ac:dyDescent="0.25">
      <c r="D9" s="6">
        <v>46321</v>
      </c>
      <c r="E9" s="5">
        <v>80000</v>
      </c>
      <c r="O9" s="6">
        <v>46302</v>
      </c>
      <c r="P9" s="5">
        <v>15000</v>
      </c>
    </row>
    <row r="10" spans="1:16" x14ac:dyDescent="0.25">
      <c r="D10" s="6">
        <v>46320</v>
      </c>
      <c r="E10" s="5">
        <v>2500</v>
      </c>
      <c r="O10" s="6">
        <v>46303</v>
      </c>
      <c r="P10" s="5">
        <v>101500</v>
      </c>
    </row>
    <row r="11" spans="1:16" x14ac:dyDescent="0.25">
      <c r="D11" s="6">
        <v>46319</v>
      </c>
      <c r="E11" s="5">
        <v>12000</v>
      </c>
      <c r="O11" s="6">
        <v>46304</v>
      </c>
      <c r="P11" s="5">
        <v>12000</v>
      </c>
    </row>
    <row r="12" spans="1:16" x14ac:dyDescent="0.25">
      <c r="D12" s="6">
        <v>46318</v>
      </c>
      <c r="E12" s="5">
        <v>101500</v>
      </c>
      <c r="O12" s="6">
        <v>46305</v>
      </c>
      <c r="P12" s="5">
        <v>2500</v>
      </c>
    </row>
    <row r="13" spans="1:16" x14ac:dyDescent="0.25">
      <c r="D13" s="6">
        <v>46317</v>
      </c>
      <c r="E13" s="5">
        <v>15000</v>
      </c>
      <c r="O13" s="6">
        <v>46306</v>
      </c>
      <c r="P13" s="5">
        <v>80000</v>
      </c>
    </row>
    <row r="14" spans="1:16" x14ac:dyDescent="0.25">
      <c r="D14" s="6">
        <v>46316</v>
      </c>
      <c r="E14" s="5">
        <v>25000</v>
      </c>
      <c r="O14" s="6">
        <v>46307</v>
      </c>
      <c r="P14" s="5">
        <v>1000</v>
      </c>
    </row>
    <row r="15" spans="1:16" x14ac:dyDescent="0.25">
      <c r="D15" s="6">
        <v>46315</v>
      </c>
      <c r="E15" s="5">
        <v>280000</v>
      </c>
      <c r="O15" s="6">
        <v>46308</v>
      </c>
      <c r="P15" s="5">
        <v>250000</v>
      </c>
    </row>
    <row r="16" spans="1:16" x14ac:dyDescent="0.25">
      <c r="D16" s="6">
        <v>46314</v>
      </c>
      <c r="E16" s="5">
        <v>200000</v>
      </c>
      <c r="O16" s="6">
        <v>46309</v>
      </c>
      <c r="P16" s="5">
        <v>14000</v>
      </c>
    </row>
    <row r="17" spans="4:16" x14ac:dyDescent="0.25">
      <c r="D17" s="6">
        <v>46313</v>
      </c>
      <c r="E17" s="5">
        <v>25000</v>
      </c>
      <c r="O17" s="6">
        <v>46310</v>
      </c>
      <c r="P17" s="5">
        <v>24000</v>
      </c>
    </row>
    <row r="18" spans="4:16" x14ac:dyDescent="0.25">
      <c r="D18" s="6">
        <v>46312</v>
      </c>
      <c r="E18" s="5">
        <v>49000</v>
      </c>
      <c r="O18" s="6">
        <v>46311</v>
      </c>
      <c r="P18" s="5">
        <v>55000</v>
      </c>
    </row>
    <row r="19" spans="4:16" x14ac:dyDescent="0.25">
      <c r="D19" s="6">
        <v>46311</v>
      </c>
      <c r="E19" s="5">
        <v>55000</v>
      </c>
      <c r="O19" s="6">
        <v>46312</v>
      </c>
      <c r="P19" s="5">
        <v>49000</v>
      </c>
    </row>
    <row r="20" spans="4:16" x14ac:dyDescent="0.25">
      <c r="D20" s="6">
        <v>46310</v>
      </c>
      <c r="E20" s="5">
        <v>24000</v>
      </c>
      <c r="O20" s="6">
        <v>46313</v>
      </c>
      <c r="P20" s="5">
        <v>25000</v>
      </c>
    </row>
    <row r="21" spans="4:16" x14ac:dyDescent="0.25">
      <c r="D21" s="6">
        <v>46309</v>
      </c>
      <c r="E21" s="5">
        <v>14000</v>
      </c>
      <c r="O21" s="6">
        <v>46314</v>
      </c>
      <c r="P21" s="5">
        <v>200000</v>
      </c>
    </row>
    <row r="22" spans="4:16" x14ac:dyDescent="0.25">
      <c r="D22" s="6">
        <v>46308</v>
      </c>
      <c r="E22" s="5">
        <v>250000</v>
      </c>
      <c r="O22" s="6">
        <v>46315</v>
      </c>
      <c r="P22" s="5">
        <v>280000</v>
      </c>
    </row>
    <row r="23" spans="4:16" x14ac:dyDescent="0.25">
      <c r="D23" s="6">
        <v>46307</v>
      </c>
      <c r="E23" s="5">
        <v>1000</v>
      </c>
      <c r="O23" s="6">
        <v>46316</v>
      </c>
      <c r="P23" s="5">
        <v>25000</v>
      </c>
    </row>
    <row r="24" spans="4:16" x14ac:dyDescent="0.25">
      <c r="D24" s="6">
        <v>46306</v>
      </c>
      <c r="E24" s="5">
        <v>80000</v>
      </c>
      <c r="O24" s="6">
        <v>46317</v>
      </c>
      <c r="P24" s="5">
        <v>15000</v>
      </c>
    </row>
    <row r="25" spans="4:16" x14ac:dyDescent="0.25">
      <c r="D25" s="6">
        <v>46305</v>
      </c>
      <c r="E25" s="5">
        <v>2500</v>
      </c>
      <c r="O25" s="6">
        <v>46318</v>
      </c>
      <c r="P25" s="5">
        <v>101500</v>
      </c>
    </row>
    <row r="26" spans="4:16" x14ac:dyDescent="0.25">
      <c r="D26" s="6">
        <v>46304</v>
      </c>
      <c r="E26" s="5">
        <v>12000</v>
      </c>
      <c r="O26" s="6">
        <v>46319</v>
      </c>
      <c r="P26" s="5">
        <v>12000</v>
      </c>
    </row>
    <row r="27" spans="4:16" x14ac:dyDescent="0.25">
      <c r="D27" s="6">
        <v>46303</v>
      </c>
      <c r="E27" s="5">
        <v>101500</v>
      </c>
      <c r="O27" s="6">
        <v>46320</v>
      </c>
      <c r="P27" s="5">
        <v>2500</v>
      </c>
    </row>
    <row r="28" spans="4:16" x14ac:dyDescent="0.25">
      <c r="D28" s="6">
        <v>46302</v>
      </c>
      <c r="E28" s="5">
        <v>15000</v>
      </c>
      <c r="O28" s="6">
        <v>46321</v>
      </c>
      <c r="P28" s="5">
        <v>80000</v>
      </c>
    </row>
    <row r="29" spans="4:16" x14ac:dyDescent="0.25">
      <c r="D29" s="6">
        <v>46301</v>
      </c>
      <c r="E29" s="5">
        <v>25000</v>
      </c>
      <c r="O29" s="6">
        <v>46322</v>
      </c>
      <c r="P29" s="5">
        <v>1000</v>
      </c>
    </row>
    <row r="30" spans="4:16" x14ac:dyDescent="0.25">
      <c r="D30" s="6">
        <v>46300</v>
      </c>
      <c r="E30" s="5">
        <v>280000</v>
      </c>
      <c r="O30" s="6">
        <v>46323</v>
      </c>
      <c r="P30" s="5">
        <v>250000</v>
      </c>
    </row>
    <row r="31" spans="4:16" x14ac:dyDescent="0.25">
      <c r="D31" s="6">
        <v>46299</v>
      </c>
      <c r="E31" s="5">
        <v>200000</v>
      </c>
      <c r="O31" s="6">
        <v>46324</v>
      </c>
      <c r="P31" s="5">
        <v>14000</v>
      </c>
    </row>
    <row r="32" spans="4:16" x14ac:dyDescent="0.25">
      <c r="D32" s="6">
        <v>46298</v>
      </c>
      <c r="E32" s="5">
        <v>25000</v>
      </c>
      <c r="O32" s="6">
        <v>46325</v>
      </c>
      <c r="P32" s="5">
        <v>24000</v>
      </c>
    </row>
    <row r="33" spans="4:16" x14ac:dyDescent="0.25">
      <c r="D33" s="6">
        <v>46297</v>
      </c>
      <c r="E33" s="5">
        <v>49000</v>
      </c>
      <c r="O33" s="6">
        <v>46326</v>
      </c>
      <c r="P33" s="5">
        <v>1500000</v>
      </c>
    </row>
    <row r="34" spans="4:16" x14ac:dyDescent="0.25">
      <c r="D34" s="6">
        <v>46296</v>
      </c>
      <c r="E34" s="5">
        <v>55000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F5016-801A-4368-A971-1F81371F03E3}">
  <dimension ref="B3:N20"/>
  <sheetViews>
    <sheetView workbookViewId="0">
      <selection activeCell="E3" sqref="E3"/>
    </sheetView>
  </sheetViews>
  <sheetFormatPr defaultRowHeight="15" x14ac:dyDescent="0.25"/>
  <cols>
    <col min="2" max="2" width="16.42578125" customWidth="1"/>
    <col min="3" max="3" width="10.85546875" customWidth="1"/>
    <col min="14" max="14" width="11.28515625" bestFit="1" customWidth="1"/>
  </cols>
  <sheetData>
    <row r="3" spans="2:14" x14ac:dyDescent="0.25">
      <c r="B3" t="s">
        <v>89</v>
      </c>
      <c r="C3" t="s">
        <v>62</v>
      </c>
      <c r="N3" s="7" t="s">
        <v>29</v>
      </c>
    </row>
    <row r="4" spans="2:14" x14ac:dyDescent="0.25">
      <c r="N4" s="8" t="s">
        <v>32</v>
      </c>
    </row>
    <row r="5" spans="2:14" x14ac:dyDescent="0.25">
      <c r="B5" s="7" t="s">
        <v>27</v>
      </c>
      <c r="C5">
        <f>SUMIFS(Table1[Revenu],Table1[Manager],Sheet3!$C$3,Table1[Product],Sheet3!$B5)</f>
        <v>0</v>
      </c>
      <c r="N5" s="7" t="s">
        <v>60</v>
      </c>
    </row>
    <row r="6" spans="2:14" x14ac:dyDescent="0.25">
      <c r="B6" s="8" t="s">
        <v>45</v>
      </c>
      <c r="C6">
        <f>SUMIFS(Table1[Revenu],Table1[Manager],Sheet3!$C$3,Table1[Product],Sheet3!$B6)</f>
        <v>0</v>
      </c>
      <c r="N6" s="8" t="s">
        <v>61</v>
      </c>
    </row>
    <row r="7" spans="2:14" x14ac:dyDescent="0.25">
      <c r="B7" s="7" t="s">
        <v>46</v>
      </c>
      <c r="C7">
        <f>SUMIFS(Table1[Revenu],Table1[Manager],Sheet3!$C$3,Table1[Product],Sheet3!$B7)</f>
        <v>0</v>
      </c>
      <c r="N7" s="7" t="s">
        <v>62</v>
      </c>
    </row>
    <row r="8" spans="2:14" x14ac:dyDescent="0.25">
      <c r="B8" s="8" t="s">
        <v>47</v>
      </c>
      <c r="C8">
        <f>SUMIFS(Table1[Revenu],Table1[Manager],Sheet3!$C$3,Table1[Product],Sheet3!$B8)</f>
        <v>0</v>
      </c>
      <c r="N8" s="8" t="s">
        <v>63</v>
      </c>
    </row>
    <row r="9" spans="2:14" x14ac:dyDescent="0.25">
      <c r="B9" s="7" t="s">
        <v>48</v>
      </c>
      <c r="C9">
        <f>SUMIFS(Table1[Revenu],Table1[Manager],Sheet3!$C$3,Table1[Product],Sheet3!$B9)</f>
        <v>560000</v>
      </c>
      <c r="N9" s="7" t="s">
        <v>65</v>
      </c>
    </row>
    <row r="10" spans="2:14" x14ac:dyDescent="0.25">
      <c r="B10" s="8" t="s">
        <v>49</v>
      </c>
      <c r="C10">
        <f>SUMIFS(Table1[Revenu],Table1[Manager],Sheet3!$C$3,Table1[Product],Sheet3!$B10)</f>
        <v>0</v>
      </c>
      <c r="N10" s="8" t="s">
        <v>32</v>
      </c>
    </row>
    <row r="11" spans="2:14" x14ac:dyDescent="0.25">
      <c r="B11" s="7" t="s">
        <v>50</v>
      </c>
      <c r="C11">
        <f>SUMIFS(Table1[Revenu],Table1[Manager],Sheet3!$C$3,Table1[Product],Sheet3!$B11)</f>
        <v>0</v>
      </c>
      <c r="N11" s="7" t="s">
        <v>29</v>
      </c>
    </row>
    <row r="12" spans="2:14" x14ac:dyDescent="0.25">
      <c r="B12" s="8" t="s">
        <v>51</v>
      </c>
      <c r="C12">
        <f>SUMIFS(Table1[Revenu],Table1[Manager],Sheet3!$C$3,Table1[Product],Sheet3!$B12)</f>
        <v>0</v>
      </c>
      <c r="N12" s="8" t="s">
        <v>60</v>
      </c>
    </row>
    <row r="13" spans="2:14" x14ac:dyDescent="0.25">
      <c r="B13" s="7" t="s">
        <v>52</v>
      </c>
      <c r="C13">
        <f>SUMIFS(Table1[Revenu],Table1[Manager],Sheet3!$C$3,Table1[Product],Sheet3!$B13)</f>
        <v>0</v>
      </c>
      <c r="N13" s="7" t="s">
        <v>61</v>
      </c>
    </row>
    <row r="14" spans="2:14" x14ac:dyDescent="0.25">
      <c r="B14" s="8" t="s">
        <v>53</v>
      </c>
      <c r="C14">
        <f>SUMIFS(Table1[Revenu],Table1[Manager],Sheet3!$C$3,Table1[Product],Sheet3!$B14)</f>
        <v>0</v>
      </c>
      <c r="N14" s="8" t="s">
        <v>62</v>
      </c>
    </row>
    <row r="15" spans="2:14" x14ac:dyDescent="0.25">
      <c r="B15" s="7" t="s">
        <v>54</v>
      </c>
      <c r="C15">
        <f>SUMIFS(Table1[Revenu],Table1[Manager],Sheet3!$C$3,Table1[Product],Sheet3!$B15)</f>
        <v>0</v>
      </c>
      <c r="N15" s="7" t="s">
        <v>67</v>
      </c>
    </row>
    <row r="16" spans="2:14" x14ac:dyDescent="0.25">
      <c r="B16" s="8" t="s">
        <v>55</v>
      </c>
      <c r="C16">
        <f>SUMIFS(Table1[Revenu],Table1[Manager],Sheet3!$C$3,Table1[Product],Sheet3!$B16)</f>
        <v>2000</v>
      </c>
      <c r="N16" s="8" t="s">
        <v>60</v>
      </c>
    </row>
    <row r="17" spans="2:14" x14ac:dyDescent="0.25">
      <c r="B17" s="7" t="s">
        <v>56</v>
      </c>
      <c r="C17">
        <f>SUMIFS(Table1[Revenu],Table1[Manager],Sheet3!$C$3,Table1[Product],Sheet3!$B17)</f>
        <v>0</v>
      </c>
      <c r="N17" s="7" t="s">
        <v>32</v>
      </c>
    </row>
    <row r="18" spans="2:14" x14ac:dyDescent="0.25">
      <c r="B18" s="8" t="s">
        <v>58</v>
      </c>
      <c r="C18">
        <f>SUMIFS(Table1[Revenu],Table1[Manager],Sheet3!$C$3,Table1[Product],Sheet3!$B18)</f>
        <v>0</v>
      </c>
    </row>
    <row r="19" spans="2:14" x14ac:dyDescent="0.25">
      <c r="B19" s="7" t="s">
        <v>59</v>
      </c>
      <c r="C19">
        <f>SUMIFS(Table1[Revenu],Table1[Manager],Sheet3!$C$3,Table1[Product],Sheet3!$B19)</f>
        <v>0</v>
      </c>
    </row>
    <row r="20" spans="2:14" x14ac:dyDescent="0.25">
      <c r="B20" t="s">
        <v>90</v>
      </c>
      <c r="C20">
        <f>SUM(C9)</f>
        <v>560000</v>
      </c>
    </row>
  </sheetData>
  <conditionalFormatting sqref="C5:C19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{7DC6B8DF-A224-4A5C-AF0D-77354F3B50AF}</x14:id>
        </ext>
      </extLst>
    </cfRule>
  </conditionalFormatting>
  <conditionalFormatting sqref="C16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{2E808308-7AA0-46B4-9F8E-92A3143A2A56}</x14:id>
        </ext>
      </extLst>
    </cfRule>
  </conditionalFormatting>
  <dataValidations count="1">
    <dataValidation type="list" allowBlank="1" showInputMessage="1" showErrorMessage="1" sqref="M2 C3" xr:uid="{D0D5B395-5B4A-4173-A5CD-1462226D7BA3}">
      <formula1>$N$3:$N$17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DC6B8DF-A224-4A5C-AF0D-77354F3B50A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C5:C19</xm:sqref>
        </x14:conditionalFormatting>
        <x14:conditionalFormatting xmlns:xm="http://schemas.microsoft.com/office/excel/2006/main">
          <x14:cfRule type="dataBar" id="{2E808308-7AA0-46B4-9F8E-92A3143A2A5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C16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Love</dc:creator>
  <cp:lastModifiedBy>Arun Love</cp:lastModifiedBy>
  <dcterms:created xsi:type="dcterms:W3CDTF">2026-10-16T15:07:58Z</dcterms:created>
  <dcterms:modified xsi:type="dcterms:W3CDTF">2026-10-17T15:32:40Z</dcterms:modified>
</cp:coreProperties>
</file>